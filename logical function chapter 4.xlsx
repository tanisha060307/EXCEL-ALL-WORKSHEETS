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945125A59381F8/Documents/"/>
    </mc:Choice>
  </mc:AlternateContent>
  <xr:revisionPtr revIDLastSave="144" documentId="8_{D07FBEAE-2A79-4C05-9115-FDA34BF10C0A}" xr6:coauthVersionLast="47" xr6:coauthVersionMax="47" xr10:uidLastSave="{9348CCD1-D4F3-4A6E-8085-A5F2EF563DF8}"/>
  <bookViews>
    <workbookView xWindow="-108" yWindow="-108" windowWidth="23256" windowHeight="12456" activeTab="1" xr2:uid="{AD277F7E-072A-4A66-A6C5-E50A3A834EE3}"/>
  </bookViews>
  <sheets>
    <sheet name="TARGET CHART" sheetId="1" r:id="rId1"/>
    <sheet name="PROMOTION 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2" i="2"/>
  <c r="E2" i="2"/>
  <c r="E3" i="2"/>
  <c r="E4" i="2"/>
  <c r="E5" i="2"/>
  <c r="E6" i="2"/>
  <c r="E7" i="2"/>
  <c r="E8" i="2"/>
  <c r="E9" i="2"/>
  <c r="E10" i="2"/>
  <c r="E11" i="2"/>
  <c r="E12" i="2"/>
  <c r="E13" i="2"/>
  <c r="G3" i="1" a="1"/>
  <c r="G3" i="1"/>
  <c r="G4" i="1" a="1"/>
  <c r="G4" i="1"/>
  <c r="G5" i="1" a="1"/>
  <c r="G5" i="1"/>
  <c r="G6" i="1" a="1"/>
  <c r="G6" i="1"/>
  <c r="G7" i="1" a="1"/>
  <c r="G7" i="1"/>
  <c r="G8" i="1" a="1"/>
  <c r="G8" i="1"/>
  <c r="G9" i="1" a="1"/>
  <c r="G9" i="1"/>
  <c r="G10" i="1" a="1"/>
  <c r="G10" i="1"/>
  <c r="G11" i="1" a="1"/>
  <c r="G11" i="1"/>
  <c r="G12" i="1" a="1"/>
  <c r="G12" i="1"/>
  <c r="G13" i="1" a="1"/>
  <c r="G13" i="1" s="1"/>
  <c r="G14" i="1" a="1"/>
  <c r="G14" i="1"/>
  <c r="G2" i="1" a="1"/>
  <c r="G2" i="1" s="1"/>
  <c r="F3" i="1"/>
  <c r="F4" i="1"/>
  <c r="F5" i="1"/>
  <c r="F6" i="1"/>
  <c r="F7" i="1"/>
  <c r="F8" i="1"/>
  <c r="F9" i="1"/>
  <c r="F10" i="1"/>
  <c r="F11" i="1"/>
  <c r="F12" i="1"/>
  <c r="F13" i="1"/>
  <c r="F2" i="1"/>
  <c r="E3" i="1"/>
  <c r="E4" i="1"/>
  <c r="E5" i="1"/>
  <c r="E6" i="1"/>
  <c r="E7" i="1"/>
  <c r="E8" i="1"/>
  <c r="E9" i="1"/>
  <c r="E10" i="1"/>
  <c r="E11" i="1"/>
  <c r="E12" i="1"/>
  <c r="E13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<sst xmlns="http://schemas.openxmlformats.org/spreadsheetml/2006/main" count="97" uniqueCount="68">
  <si>
    <t>EMP ID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</si>
  <si>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</si>
  <si>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</si>
  <si>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</si>
  <si>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</si>
  <si>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</si>
  <si>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</si>
  <si>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</si>
  <si>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</si>
  <si>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</si>
  <si>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</si>
  <si>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</si>
  <si>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</si>
  <si>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Salesman</t>
  </si>
  <si>
    <t>Department</t>
  </si>
  <si>
    <t>Sales</t>
  </si>
  <si>
    <t>Target Status</t>
  </si>
  <si>
    <t>Incentive</t>
  </si>
  <si>
    <t>Emp_1</t>
  </si>
  <si>
    <t>Emp_2</t>
  </si>
  <si>
    <t>Emp_3</t>
  </si>
  <si>
    <t>Emp_4</t>
  </si>
  <si>
    <t>Emp_5</t>
  </si>
  <si>
    <t>Emp_6</t>
  </si>
  <si>
    <t>Emp_7</t>
  </si>
  <si>
    <t>Emp_8</t>
  </si>
  <si>
    <t>Emp_9</t>
  </si>
  <si>
    <t>Emp_10</t>
  </si>
  <si>
    <t>Emp_11</t>
  </si>
  <si>
    <t>Emp_12</t>
  </si>
  <si>
    <t>Finance</t>
  </si>
  <si>
    <t>Operations</t>
  </si>
  <si>
    <t>Target Condition</t>
  </si>
  <si>
    <t>Sales  Achieved</t>
  </si>
  <si>
    <t>&gt;=50000</t>
  </si>
  <si>
    <t>&lt;50000</t>
  </si>
  <si>
    <t>Status</t>
  </si>
  <si>
    <t>completed</t>
  </si>
  <si>
    <t>incompleted</t>
  </si>
  <si>
    <t>Incentive Calculation</t>
  </si>
  <si>
    <t>75000&gt;</t>
  </si>
  <si>
    <t>50000&gt;</t>
  </si>
  <si>
    <t>Percentage</t>
  </si>
  <si>
    <t>USE OF AND/OR</t>
  </si>
  <si>
    <t>BOTH</t>
  </si>
  <si>
    <t>FINANCE</t>
  </si>
  <si>
    <t>5&gt;</t>
  </si>
  <si>
    <t>PROMOTION</t>
  </si>
  <si>
    <t>YES</t>
  </si>
  <si>
    <t>ANY ONE</t>
  </si>
  <si>
    <t>NAME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</si>
  <si>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</si>
  <si>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</si>
  <si>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</si>
  <si>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</si>
  <si>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</si>
  <si>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</si>
  <si>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</si>
  <si>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</si>
  <si>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</si>
  <si>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</si>
  <si>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</si>
  <si>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</si>
  <si>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WORKING YEARS</t>
  </si>
  <si>
    <t>SALARY</t>
  </si>
  <si>
    <t>DEPARTMENT</t>
  </si>
  <si>
    <t>5&gt;=</t>
  </si>
  <si>
    <t>OR PROMOTION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</si>
</sst>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9" fontId="0" fillId="0" borderId="0" xfId="0" applyNumberFormat="1"/>
    <xf numFmtId="0" fontId="0" fillId="3" borderId="1" xfId="0" applyFill="1" applyBorder="1"/>
    <xf numFmtId="44" fontId="0" fillId="0" borderId="1" xfId="1" applyFont="1" applyBorder="1"/>
    <xf numFmtId="0" fontId="0" fillId="3" borderId="2" xfId="0" applyFill="1" applyBorder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25081-4B7D-44CC-A285-7703FE7EDE69}">
  <dimension ref="A1:G29"/>
  <sheetViews>
    <sheetView topLeftCell="D1" workbookViewId="0">
      <selection activeCell="H16" sqref="H16"/>
    </sheetView>
  </sheetViews>
  <sheetFormatPr defaultRowHeight="14.4" x14ac:dyDescent="0.3"/>
  <cols>
    <col min="3" max="3" width="10.5546875" bestFit="1" customWidth="1"/>
    <col min="5" max="5" width="11.33203125" bestFit="1" customWidth="1"/>
    <col min="8" max="8" width="17.88671875" bestFit="1" customWidth="1"/>
  </cols>
  <sheetData>
    <row r="1" spans="1:7" x14ac:dyDescent="0.3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17</v>
      </c>
    </row>
    <row r="2" spans="1:7" x14ac:dyDescent="0.3">
      <c r="A2" s="2" t="s">
        <v>1</v>
      </c>
      <c r="B2" s="2" t="s">
        <v>18</v>
      </c>
      <c r="C2" s="2" t="s">
        <v>30</v>
      </c>
      <c r="D2" s="2">
        <v>72704</v>
      </c>
      <c r="E2" s="2" t="str">
        <f>IF(D2&gt;=50000,"Completed","Incomplete")</f>
        <v>Completed</v>
      </c>
      <c r="F2" s="2">
        <f>IF(D2&gt;75000,D2*20%,IF(D2&gt;50000,D2*15%,D2*10%))</f>
        <v>10905.6</v>
      </c>
      <c r="G2" cm="1">
        <f t="array" ref="G2">_xlfn.IFS(D2&gt;75000,D2*20%,D2&gt;50000,D2*15%,D2&lt;=50000,D2*10%)</f>
        <v>10905.6</v>
      </c>
    </row>
    <row r="3" spans="1:7" x14ac:dyDescent="0.3">
      <c r="A3" s="2" t="s">
        <v>2</v>
      </c>
      <c r="B3" s="2" t="s">
        <v>19</v>
      </c>
      <c r="C3" s="2" t="s">
        <v>31</v>
      </c>
      <c r="D3" s="2">
        <v>44718</v>
      </c>
      <c r="E3" s="2" t="str">
        <f t="shared" ref="E3:E13" si="0">IF(D3&gt;=50000,"Completed","Incomplete")</f>
        <v>Incomplete</v>
      </c>
      <c r="F3" s="2">
        <f t="shared" ref="F3:F13" si="1">IF(D3&gt;75000,D3*20%,IF(D3&gt;50000,D3*15%,D3*10%))</f>
        <v>4471.8</v>
      </c>
      <c r="G3" cm="1">
        <f t="array" ref="G3">_xlfn.IFS(D3&gt;75000,D3*20%,D3&gt;50000,D3*15%,D3&lt;=50000,D3*10%)</f>
        <v>4471.8</v>
      </c>
    </row>
    <row r="4" spans="1:7" x14ac:dyDescent="0.3">
      <c r="A4" s="2" t="s">
        <v>3</v>
      </c>
      <c r="B4" s="2" t="s">
        <v>20</v>
      </c>
      <c r="C4" s="2" t="s">
        <v>15</v>
      </c>
      <c r="D4" s="2">
        <v>35210</v>
      </c>
      <c r="E4" s="2" t="str">
        <f t="shared" si="0"/>
        <v>Incomplete</v>
      </c>
      <c r="F4" s="2">
        <f t="shared" si="1"/>
        <v>3521</v>
      </c>
      <c r="G4" cm="1">
        <f t="array" ref="G4">_xlfn.IFS(D4&gt;75000,D4*20%,D4&gt;50000,D4*15%,D4&lt;=50000,D4*10%)</f>
        <v>3521</v>
      </c>
    </row>
    <row r="5" spans="1:7" x14ac:dyDescent="0.3">
      <c r="A5" s="2" t="s">
        <v>4</v>
      </c>
      <c r="B5" s="2" t="s">
        <v>21</v>
      </c>
      <c r="C5" s="2" t="s">
        <v>30</v>
      </c>
      <c r="D5" s="2">
        <v>30681</v>
      </c>
      <c r="E5" s="2" t="str">
        <f t="shared" si="0"/>
        <v>Incomplete</v>
      </c>
      <c r="F5" s="2">
        <f t="shared" si="1"/>
        <v>3068.1000000000004</v>
      </c>
      <c r="G5" cm="1">
        <f t="array" ref="G5">_xlfn.IFS(D5&gt;75000,D5*20%,D5&gt;50000,D5*15%,D5&lt;=50000,D5*10%)</f>
        <v>3068.1000000000004</v>
      </c>
    </row>
    <row r="6" spans="1:7" x14ac:dyDescent="0.3">
      <c r="A6" s="2" t="s">
        <v>5</v>
      </c>
      <c r="B6" s="2" t="s">
        <v>22</v>
      </c>
      <c r="C6" s="2" t="s">
        <v>31</v>
      </c>
      <c r="D6" s="2">
        <v>47487</v>
      </c>
      <c r="E6" s="2" t="str">
        <f t="shared" si="0"/>
        <v>Incomplete</v>
      </c>
      <c r="F6" s="2">
        <f t="shared" si="1"/>
        <v>4748.7</v>
      </c>
      <c r="G6" cm="1">
        <f t="array" ref="G6">_xlfn.IFS(D6&gt;75000,D6*20%,D6&gt;50000,D6*15%,D6&lt;=50000,D6*10%)</f>
        <v>4748.7</v>
      </c>
    </row>
    <row r="7" spans="1:7" x14ac:dyDescent="0.3">
      <c r="A7" s="2" t="s">
        <v>6</v>
      </c>
      <c r="B7" s="2" t="s">
        <v>23</v>
      </c>
      <c r="C7" s="2" t="s">
        <v>31</v>
      </c>
      <c r="D7" s="2">
        <v>75613</v>
      </c>
      <c r="E7" s="2" t="str">
        <f t="shared" si="0"/>
        <v>Completed</v>
      </c>
      <c r="F7" s="2">
        <f t="shared" si="1"/>
        <v>15122.6</v>
      </c>
      <c r="G7" cm="1">
        <f t="array" ref="G7">_xlfn.IFS(D7&gt;75000,D7*20%,D7&gt;50000,D7*15%,D7&lt;=50000,D7*10%)</f>
        <v>15122.6</v>
      </c>
    </row>
    <row r="8" spans="1:7" x14ac:dyDescent="0.3">
      <c r="A8" s="2" t="s">
        <v>7</v>
      </c>
      <c r="B8" s="2" t="s">
        <v>24</v>
      </c>
      <c r="C8" s="2" t="s">
        <v>15</v>
      </c>
      <c r="D8" s="2">
        <v>63671</v>
      </c>
      <c r="E8" s="2" t="str">
        <f t="shared" si="0"/>
        <v>Completed</v>
      </c>
      <c r="F8" s="2">
        <f t="shared" si="1"/>
        <v>9550.65</v>
      </c>
      <c r="G8" cm="1">
        <f t="array" ref="G8">_xlfn.IFS(D8&gt;75000,D8*20%,D8&gt;50000,D8*15%,D8&lt;=50000,D8*10%)</f>
        <v>9550.65</v>
      </c>
    </row>
    <row r="9" spans="1:7" x14ac:dyDescent="0.3">
      <c r="A9" s="2" t="s">
        <v>8</v>
      </c>
      <c r="B9" s="2" t="s">
        <v>25</v>
      </c>
      <c r="C9" s="2" t="s">
        <v>30</v>
      </c>
      <c r="D9" s="2">
        <v>38966</v>
      </c>
      <c r="E9" s="2" t="str">
        <f t="shared" si="0"/>
        <v>Incomplete</v>
      </c>
      <c r="F9" s="2">
        <f t="shared" si="1"/>
        <v>3896.6000000000004</v>
      </c>
      <c r="G9" cm="1">
        <f t="array" ref="G9">_xlfn.IFS(D9&gt;75000,D9*20%,D9&gt;50000,D9*15%,D9&lt;=50000,D9*10%)</f>
        <v>3896.6000000000004</v>
      </c>
    </row>
    <row r="10" spans="1:7" x14ac:dyDescent="0.3">
      <c r="A10" s="2" t="s">
        <v>9</v>
      </c>
      <c r="B10" s="2" t="s">
        <v>26</v>
      </c>
      <c r="C10" s="2" t="s">
        <v>31</v>
      </c>
      <c r="D10" s="2">
        <v>77052</v>
      </c>
      <c r="E10" s="2" t="str">
        <f t="shared" si="0"/>
        <v>Completed</v>
      </c>
      <c r="F10" s="2">
        <f t="shared" si="1"/>
        <v>15410.400000000001</v>
      </c>
      <c r="G10" cm="1">
        <f t="array" ref="G10">_xlfn.IFS(D10&gt;75000,D10*20%,D10&gt;50000,D10*15%,D10&lt;=50000,D10*10%)</f>
        <v>15410.400000000001</v>
      </c>
    </row>
    <row r="11" spans="1:7" x14ac:dyDescent="0.3">
      <c r="A11" s="2" t="s">
        <v>10</v>
      </c>
      <c r="B11" s="2" t="s">
        <v>27</v>
      </c>
      <c r="C11" s="2" t="s">
        <v>15</v>
      </c>
      <c r="D11" s="2">
        <v>86570</v>
      </c>
      <c r="E11" s="2" t="str">
        <f t="shared" si="0"/>
        <v>Completed</v>
      </c>
      <c r="F11" s="2">
        <f t="shared" si="1"/>
        <v>17314</v>
      </c>
      <c r="G11" cm="1">
        <f t="array" ref="G11">_xlfn.IFS(D11&gt;75000,D11*20%,D11&gt;50000,D11*15%,D11&lt;=50000,D11*10%)</f>
        <v>17314</v>
      </c>
    </row>
    <row r="12" spans="1:7" x14ac:dyDescent="0.3">
      <c r="A12" s="2" t="s">
        <v>11</v>
      </c>
      <c r="B12" s="2" t="s">
        <v>28</v>
      </c>
      <c r="C12" s="2" t="s">
        <v>15</v>
      </c>
      <c r="D12" s="2">
        <v>30250</v>
      </c>
      <c r="E12" s="2" t="str">
        <f t="shared" si="0"/>
        <v>Incomplete</v>
      </c>
      <c r="F12" s="2">
        <f t="shared" si="1"/>
        <v>3025</v>
      </c>
      <c r="G12" cm="1">
        <f t="array" ref="G12">_xlfn.IFS(D12&gt;75000,D12*20%,D12&gt;50000,D12*15%,D12&lt;=50000,D12*10%)</f>
        <v>3025</v>
      </c>
    </row>
    <row r="13" spans="1:7" x14ac:dyDescent="0.3">
      <c r="A13" s="2" t="s">
        <v>12</v>
      </c>
      <c r="B13" s="2" t="s">
        <v>29</v>
      </c>
      <c r="C13" s="2" t="s">
        <v>31</v>
      </c>
      <c r="D13" s="2">
        <v>71584</v>
      </c>
      <c r="E13" s="2" t="str">
        <f t="shared" si="0"/>
        <v>Completed</v>
      </c>
      <c r="F13" s="2">
        <f t="shared" si="1"/>
        <v>10737.6</v>
      </c>
      <c r="G13" cm="1">
        <f t="array" ref="G13">_xlfn.IFS(D13&gt;75000,D13*20%,D13&gt;50000,D13*15%,D13&lt;=50000,D13*10%)</f>
        <v>10737.6</v>
      </c>
    </row>
    <row r="14" spans="1:7" x14ac:dyDescent="0.3">
      <c r="A14" s="2"/>
      <c r="B14" s="2"/>
      <c r="C14" s="2"/>
      <c r="D14" s="2"/>
      <c r="E14" s="2"/>
      <c r="F14" s="2"/>
      <c r="G14" cm="1">
        <f t="array" ref="G14">_xlfn.IFS(D14&gt;75000,D14*20%,D14&gt;50000,D14*15%,D14&lt;=50000,D14*10%)</f>
        <v>0</v>
      </c>
    </row>
    <row r="17" spans="2:4" x14ac:dyDescent="0.3">
      <c r="B17" s="8" t="s">
        <v>32</v>
      </c>
      <c r="C17" s="8"/>
      <c r="D17" s="8"/>
    </row>
    <row r="18" spans="2:4" x14ac:dyDescent="0.3">
      <c r="B18" t="s">
        <v>33</v>
      </c>
      <c r="D18" t="s">
        <v>36</v>
      </c>
    </row>
    <row r="19" spans="2:4" x14ac:dyDescent="0.3">
      <c r="B19" t="s">
        <v>34</v>
      </c>
      <c r="D19" t="s">
        <v>37</v>
      </c>
    </row>
    <row r="20" spans="2:4" x14ac:dyDescent="0.3">
      <c r="B20" t="s">
        <v>35</v>
      </c>
      <c r="D20" t="s">
        <v>38</v>
      </c>
    </row>
    <row r="25" spans="2:4" x14ac:dyDescent="0.3">
      <c r="B25" s="8" t="s">
        <v>39</v>
      </c>
      <c r="C25" s="8"/>
    </row>
    <row r="26" spans="2:4" x14ac:dyDescent="0.3">
      <c r="B26" t="s">
        <v>15</v>
      </c>
      <c r="C26" t="s">
        <v>42</v>
      </c>
    </row>
    <row r="27" spans="2:4" x14ac:dyDescent="0.3">
      <c r="B27" t="s">
        <v>40</v>
      </c>
      <c r="C27" s="3">
        <v>0.2</v>
      </c>
    </row>
    <row r="28" spans="2:4" x14ac:dyDescent="0.3">
      <c r="B28" t="s">
        <v>41</v>
      </c>
      <c r="C28" s="3">
        <v>0.15</v>
      </c>
    </row>
    <row r="29" spans="2:4" x14ac:dyDescent="0.3">
      <c r="B29" t="s">
        <v>35</v>
      </c>
      <c r="C29" s="3">
        <v>0.1</v>
      </c>
    </row>
  </sheetData>
  <mergeCells count="2">
    <mergeCell ref="B25:C25"/>
    <mergeCell ref="B17:D17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CDDF3-48C7-4BA2-8D3D-C8F60C94591F}">
  <dimension ref="A1:F24"/>
  <sheetViews>
    <sheetView tabSelected="1" workbookViewId="0">
      <selection activeCell="E20" sqref="E20"/>
    </sheetView>
  </sheetViews>
  <sheetFormatPr defaultRowHeight="14.4" x14ac:dyDescent="0.3"/>
  <cols>
    <col min="1" max="1" width="12.5546875" bestFit="1" customWidth="1"/>
    <col min="2" max="2" width="12.109375" bestFit="1" customWidth="1"/>
    <col min="3" max="3" width="14.88671875" bestFit="1" customWidth="1"/>
    <col min="4" max="4" width="11.109375" bestFit="1" customWidth="1"/>
    <col min="5" max="5" width="11.33203125" bestFit="1" customWidth="1"/>
    <col min="6" max="6" width="14.21875" bestFit="1" customWidth="1"/>
  </cols>
  <sheetData>
    <row r="1" spans="1:6" x14ac:dyDescent="0.3">
      <c r="A1" s="4" t="s">
        <v>50</v>
      </c>
      <c r="B1" s="4" t="s">
        <v>65</v>
      </c>
      <c r="C1" s="4" t="s">
        <v>63</v>
      </c>
      <c r="D1" s="4" t="s">
        <v>64</v>
      </c>
      <c r="E1" s="4" t="s">
        <v>47</v>
      </c>
      <c r="F1" s="6" t="s">
        <v>67</v>
      </c>
    </row>
    <row r="2" spans="1:6" x14ac:dyDescent="0.3">
      <c r="A2" s="2" t="s">
        <v>51</v>
      </c>
      <c r="B2" s="2" t="s">
        <v>30</v>
      </c>
      <c r="C2" s="2">
        <v>5</v>
      </c>
      <c r="D2" s="5">
        <v>41954</v>
      </c>
      <c r="E2" s="2" t="str">
        <f>IF(AND(B2="Finance",C2&gt;=5),"YES","NO")</f>
        <v>YES</v>
      </c>
      <c r="F2" t="str">
        <f>IF(OR(B2="Finance",C2&gt;=5),"YES","NO")</f>
        <v>YES</v>
      </c>
    </row>
    <row r="3" spans="1:6" x14ac:dyDescent="0.3">
      <c r="A3" s="2" t="s">
        <v>52</v>
      </c>
      <c r="B3" s="2" t="s">
        <v>31</v>
      </c>
      <c r="C3" s="2">
        <v>4</v>
      </c>
      <c r="D3" s="5">
        <v>49855</v>
      </c>
      <c r="E3" s="2" t="str">
        <f t="shared" ref="E3:E13" si="0">IF(AND(B3="Finance",C3&gt;=5),"YES","NO")</f>
        <v>NO</v>
      </c>
      <c r="F3" t="str">
        <f t="shared" ref="F3:F13" si="1">IF(OR(B3="Finance",C3&gt;=5),"YES","NO")</f>
        <v>NO</v>
      </c>
    </row>
    <row r="4" spans="1:6" x14ac:dyDescent="0.3">
      <c r="A4" s="2" t="s">
        <v>53</v>
      </c>
      <c r="B4" s="2" t="s">
        <v>15</v>
      </c>
      <c r="C4" s="2">
        <v>3</v>
      </c>
      <c r="D4" s="5">
        <v>94210</v>
      </c>
      <c r="E4" s="2" t="str">
        <f t="shared" si="0"/>
        <v>NO</v>
      </c>
      <c r="F4" t="str">
        <f t="shared" si="1"/>
        <v>NO</v>
      </c>
    </row>
    <row r="5" spans="1:6" x14ac:dyDescent="0.3">
      <c r="A5" s="2" t="s">
        <v>54</v>
      </c>
      <c r="B5" s="2" t="s">
        <v>30</v>
      </c>
      <c r="C5" s="2">
        <v>5</v>
      </c>
      <c r="D5" s="5">
        <v>74689</v>
      </c>
      <c r="E5" s="2" t="str">
        <f t="shared" si="0"/>
        <v>YES</v>
      </c>
      <c r="F5" t="str">
        <f t="shared" si="1"/>
        <v>YES</v>
      </c>
    </row>
    <row r="6" spans="1:6" x14ac:dyDescent="0.3">
      <c r="A6" s="2" t="s">
        <v>55</v>
      </c>
      <c r="B6" s="2" t="s">
        <v>31</v>
      </c>
      <c r="C6" s="2">
        <v>6</v>
      </c>
      <c r="D6" s="5">
        <v>90652</v>
      </c>
      <c r="E6" s="2" t="str">
        <f t="shared" si="0"/>
        <v>NO</v>
      </c>
      <c r="F6" t="str">
        <f t="shared" si="1"/>
        <v>YES</v>
      </c>
    </row>
    <row r="7" spans="1:6" x14ac:dyDescent="0.3">
      <c r="A7" s="2" t="s">
        <v>56</v>
      </c>
      <c r="B7" s="2" t="s">
        <v>31</v>
      </c>
      <c r="C7" s="2">
        <v>2</v>
      </c>
      <c r="D7" s="5">
        <v>74820</v>
      </c>
      <c r="E7" s="2" t="str">
        <f t="shared" si="0"/>
        <v>NO</v>
      </c>
      <c r="F7" t="str">
        <f t="shared" si="1"/>
        <v>NO</v>
      </c>
    </row>
    <row r="8" spans="1:6" x14ac:dyDescent="0.3">
      <c r="A8" s="2" t="s">
        <v>57</v>
      </c>
      <c r="B8" s="2" t="s">
        <v>15</v>
      </c>
      <c r="C8" s="2">
        <v>3</v>
      </c>
      <c r="D8" s="5">
        <v>85206</v>
      </c>
      <c r="E8" s="2" t="str">
        <f t="shared" si="0"/>
        <v>NO</v>
      </c>
      <c r="F8" t="str">
        <f t="shared" si="1"/>
        <v>NO</v>
      </c>
    </row>
    <row r="9" spans="1:6" x14ac:dyDescent="0.3">
      <c r="A9" s="2" t="s">
        <v>58</v>
      </c>
      <c r="B9" s="2" t="s">
        <v>30</v>
      </c>
      <c r="C9" s="2">
        <v>5</v>
      </c>
      <c r="D9" s="5">
        <v>30924</v>
      </c>
      <c r="E9" s="2" t="str">
        <f t="shared" si="0"/>
        <v>YES</v>
      </c>
      <c r="F9" t="str">
        <f t="shared" si="1"/>
        <v>YES</v>
      </c>
    </row>
    <row r="10" spans="1:6" x14ac:dyDescent="0.3">
      <c r="A10" s="2" t="s">
        <v>59</v>
      </c>
      <c r="B10" s="2" t="s">
        <v>31</v>
      </c>
      <c r="C10" s="2">
        <v>6</v>
      </c>
      <c r="D10" s="5">
        <v>57737</v>
      </c>
      <c r="E10" s="2" t="str">
        <f t="shared" si="0"/>
        <v>NO</v>
      </c>
      <c r="F10" t="str">
        <f t="shared" si="1"/>
        <v>YES</v>
      </c>
    </row>
    <row r="11" spans="1:6" x14ac:dyDescent="0.3">
      <c r="A11" s="2" t="s">
        <v>60</v>
      </c>
      <c r="B11" s="2" t="s">
        <v>15</v>
      </c>
      <c r="C11" s="2">
        <v>2</v>
      </c>
      <c r="D11" s="5">
        <v>36000</v>
      </c>
      <c r="E11" s="2" t="str">
        <f t="shared" si="0"/>
        <v>NO</v>
      </c>
      <c r="F11" t="str">
        <f t="shared" si="1"/>
        <v>NO</v>
      </c>
    </row>
    <row r="12" spans="1:6" x14ac:dyDescent="0.3">
      <c r="A12" s="2" t="s">
        <v>61</v>
      </c>
      <c r="B12" s="2" t="s">
        <v>15</v>
      </c>
      <c r="C12" s="2">
        <v>3</v>
      </c>
      <c r="D12" s="5">
        <v>96371</v>
      </c>
      <c r="E12" s="2" t="str">
        <f t="shared" si="0"/>
        <v>NO</v>
      </c>
      <c r="F12" t="str">
        <f t="shared" si="1"/>
        <v>NO</v>
      </c>
    </row>
    <row r="13" spans="1:6" x14ac:dyDescent="0.3">
      <c r="A13" s="2" t="s">
        <v>62</v>
      </c>
      <c r="B13" s="2" t="s">
        <v>31</v>
      </c>
      <c r="C13" s="2">
        <v>7</v>
      </c>
      <c r="D13" s="5">
        <v>85028</v>
      </c>
      <c r="E13" s="2" t="str">
        <f t="shared" si="0"/>
        <v>NO</v>
      </c>
      <c r="F13" t="str">
        <f t="shared" si="1"/>
        <v>YES</v>
      </c>
    </row>
    <row r="18" spans="2:4" x14ac:dyDescent="0.3">
      <c r="B18" t="s">
        <v>43</v>
      </c>
    </row>
    <row r="20" spans="2:4" x14ac:dyDescent="0.3">
      <c r="B20" s="7" t="s">
        <v>44</v>
      </c>
      <c r="C20" s="7"/>
      <c r="D20" t="s">
        <v>47</v>
      </c>
    </row>
    <row r="21" spans="2:4" x14ac:dyDescent="0.3">
      <c r="B21" t="s">
        <v>45</v>
      </c>
      <c r="C21" t="s">
        <v>66</v>
      </c>
      <c r="D21" t="s">
        <v>48</v>
      </c>
    </row>
    <row r="23" spans="2:4" x14ac:dyDescent="0.3">
      <c r="B23" s="7" t="s">
        <v>49</v>
      </c>
      <c r="C23" s="7"/>
      <c r="D23" t="s">
        <v>47</v>
      </c>
    </row>
    <row r="24" spans="2:4" x14ac:dyDescent="0.3">
      <c r="B24" t="s">
        <v>45</v>
      </c>
      <c r="C24" t="s">
        <v>46</v>
      </c>
      <c r="D24" t="s">
        <v>48</v>
      </c>
    </row>
  </sheetData>
  <mergeCells count="2">
    <mergeCell ref="B20:C20"/>
    <mergeCell ref="B23:C2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 CHART</vt:lpstr>
      <vt:lpstr>PROMOTION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Tanisha Ghosh</dc:creator>
  <cp:lastModifiedBy>Tanisha Ghosh</cp:lastModifiedBy>
  <dcterms:created xsi:type="dcterms:W3CDTF">2026-08-16T17:43:14Z</dcterms:created>
  <dcterms:modified xsi:type="dcterms:W3CDTF">2026-08-16T18:55:30Z</dcterms:modified>
</cp:coreProperties>
</file>